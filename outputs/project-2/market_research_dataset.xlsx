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a91bc888fa42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Prices" sheetId="1" r:id="R0451f07356334117"/>
    <x:sheet xmlns:r="http://schemas.openxmlformats.org/officeDocument/2006/relationships" name="Summary" sheetId="2" r:id="R978df60444da45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INR &quot; #,##0.00"/>
    <x:numFmt numFmtId="201" formatCode="&quot;INR &quot; #,##0"/>
    <x:numFmt numFmtId="202" formatCode="0.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B6070"/>
      <x:name val="Carlito"/>
    </x:font>
    <x:font>
      <x:b/>
      <x:sz val="10"/>
      <x:color rgb="FFFFFFFF"/>
      <x:name val="Carlito"/>
    </x:font>
    <x:font>
      <x:b/>
      <x:sz val="16"/>
      <x:color rgb="FF12304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6F4F1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/>
    </x:xf>
    <x:xf numFmtId="200" fontId="4" fillId="3" borderId="0" xfId="0" applyNumberFormat="1" applyFont="1" applyFill="1" applyBorder="1" applyAlignment="1">
      <x:alignment horizontal="center"/>
    </x:xf>
    <x:xf numFmtId="200" fontId="4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B1C1C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4b899742c14958" /><Relationship Type="http://schemas.openxmlformats.org/officeDocument/2006/relationships/theme" Target="/xl/theme/theme1.xml" Id="Re410c3dd78e54448" /><Relationship Type="http://schemas.openxmlformats.org/officeDocument/2006/relationships/sharedStrings" Target="/xl/sharedStrings.xml" Id="Rf4a3cde6aa4d4e95" /><Relationship Type="http://schemas.openxmlformats.org/officeDocument/2006/relationships/worksheet" Target="/xl/worksheets/sheet1.xml" Id="R0451f07356334117" /><Relationship Type="http://schemas.openxmlformats.org/officeDocument/2006/relationships/worksheet" Target="/xl/worksheets/sheet2.xml" Id="R978df60444da45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b4fd8bf702749c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Saving Opportunity by Product (INR)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Saving INR</c:v>
          </c:tx>
          <c:cat>
            <c:strRef>
              <c:f>'Summary'!$I$8:$I$17</c:f>
              <c:strCache>
                <c:ptCount val="0"/>
              </c:strCache>
            </c:strRef>
          </c:cat>
          <c:val>
            <c:numRef>
              <c:f>'Summary'!$J$8:$J$17</c:f>
              <c:numCache>
                <c:formatCode>"INR "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INR &quot; #,##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2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4fd8bf702749c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RawPriceObservations" displayName="RawPriceObservations" ref="A1:M31" headerRowCount="1">
  <x:tableColumns count="13">
    <x:tableColumn id="1" name="product_key"/>
    <x:tableColumn id="2" name="product_name"/>
    <x:tableColumn id="3" name="brand"/>
    <x:tableColumn id="4" name="category"/>
    <x:tableColumn id="5" name="model_number"/>
    <x:tableColumn id="6" name="retailer"/>
    <x:tableColumn id="7" name="listing_reference"/>
    <x:tableColumn id="8" name="listed_price_inr"/>
    <x:tableColumn id="9" name="original_price_inr"/>
    <x:tableColumn id="10" name="rating"/>
    <x:tableColumn id="11" name="review_count"/>
    <x:tableColumn id="12" name="in_stock"/>
    <x:tableColumn id="13" name="captured_date"/>
  </x:tableColumns>
  <x:tableStyleInfo name="TableStyleMedium2" showRowStripes="1"/>
</x:table>
</file>

<file path=xl/tables/table2.xml><?xml version="1.0" encoding="utf-8"?>
<x:table xmlns:x="http://schemas.openxmlformats.org/spreadsheetml/2006/main" id="1" name="PriceComparisonSummary" displayName="PriceComparisonSummary" ref="A7:G17" headerRowCount="1">
  <x:tableColumns count="7">
    <x:tableColumn id="1" name="Product"/>
    <x:tableColumn id="2" name="Category"/>
    <x:tableColumn id="3" name="Offers"/>
    <x:tableColumn id="4" name="Lowest Price"/>
    <x:tableColumn id="5" name="Highest Price"/>
    <x:tableColumn id="6" name="Possible Saving"/>
    <x:tableColumn id="7" name="Cheapest Retail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6663ef4b5f4f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112dd52058243d4" /><Relationship Type="http://schemas.openxmlformats.org/officeDocument/2006/relationships/table" Target="/xl/tables/table2.xml" Id="Rfa421dac86344e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20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18" hidden="0" customWidth="1"/>
    <x:col min="9" max="9" width="18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</x:cols>
  <x:sheetData>
    <x:row r="1">
      <x:c r="A1" s="36" t="str">
        <x:v>product_key</x:v>
      </x:c>
      <x:c r="B1" s="36" t="str">
        <x:v>product_name</x:v>
      </x:c>
      <x:c r="C1" s="36" t="str">
        <x:v>brand</x:v>
      </x:c>
      <x:c r="D1" s="36" t="str">
        <x:v>category</x:v>
      </x:c>
      <x:c r="E1" s="36" t="str">
        <x:v>model_number</x:v>
      </x:c>
      <x:c r="F1" s="36" t="str">
        <x:v>retailer</x:v>
      </x:c>
      <x:c r="G1" s="36" t="str">
        <x:v>listing_reference</x:v>
      </x:c>
      <x:c r="H1" s="36" t="str">
        <x:v>listed_price_inr</x:v>
      </x:c>
      <x:c r="I1" s="36" t="str">
        <x:v>original_price_inr</x:v>
      </x:c>
      <x:c r="J1" s="36" t="str">
        <x:v>rating</x:v>
      </x:c>
      <x:c r="K1" s="36" t="str">
        <x:v>review_count</x:v>
      </x:c>
      <x:c r="L1" s="36" t="str">
        <x:v>in_stock</x:v>
      </x:c>
      <x:c r="M1" s="36" t="str">
        <x:v>captured_date</x:v>
      </x:c>
    </x:row>
    <x:row r="2">
      <x:c r="A2" t="str">
        <x:v>SONY-WHCH520</x:v>
      </x:c>
      <x:c r="B2" t="str">
        <x:v>Sony WH-CH520 Wireless Headphones</x:v>
      </x:c>
      <x:c r="C2" t="str">
        <x:v>Sony</x:v>
      </x:c>
      <x:c r="D2" t="str">
        <x:v>Audio</x:v>
      </x:c>
      <x:c r="E2" t="str">
        <x:v>WH-CH520</x:v>
      </x:c>
      <x:c r="F2" t="str">
        <x:v>Amazon India</x:v>
      </x:c>
      <x:c r="G2" t="str">
        <x:v>AMZ-WHCH520</x:v>
      </x:c>
      <x:c r="H2" s="28" t="str">
        <x:v>3988.00</x:v>
      </x:c>
      <x:c r="I2" s="28" t="str">
        <x:v>5990.00</x:v>
      </x:c>
      <x:c r="J2" s="38" t="str">
        <x:v>4.3</x:v>
      </x:c>
      <x:c r="K2" t="str">
        <x:v>18421</x:v>
      </x:c>
      <x:c r="L2" t="str">
        <x:v>1</x:v>
      </x:c>
      <x:c r="M2" t="str">
        <x:v>2026-05-20</x:v>
      </x:c>
    </x:row>
    <x:row r="3">
      <x:c r="A3" t="str">
        <x:v>SONY-WHCH520</x:v>
      </x:c>
      <x:c r="B3" t="str">
        <x:v>Sony WH-CH520 Wireless Headphones</x:v>
      </x:c>
      <x:c r="C3" t="str">
        <x:v>Sony</x:v>
      </x:c>
      <x:c r="D3" t="str">
        <x:v>Audio</x:v>
      </x:c>
      <x:c r="E3" t="str">
        <x:v>WH-CH520</x:v>
      </x:c>
      <x:c r="F3" t="str">
        <x:v>Flipkart</x:v>
      </x:c>
      <x:c r="G3" t="str">
        <x:v>FLP-WHCH520</x:v>
      </x:c>
      <x:c r="H3" s="28" t="str">
        <x:v>3990.00</x:v>
      </x:c>
      <x:c r="I3" s="28" t="str">
        <x:v>5990.00</x:v>
      </x:c>
      <x:c r="J3" s="38" t="str">
        <x:v>4.3</x:v>
      </x:c>
      <x:c r="K3" t="str">
        <x:v>10322</x:v>
      </x:c>
      <x:c r="L3" t="str">
        <x:v>1</x:v>
      </x:c>
      <x:c r="M3" t="str">
        <x:v>2026-05-20</x:v>
      </x:c>
    </x:row>
    <x:row r="4">
      <x:c r="A4" t="str">
        <x:v>SONY-WHCH520</x:v>
      </x:c>
      <x:c r="B4" t="str">
        <x:v>Sony WH-CH520 Wireless Headphones</x:v>
      </x:c>
      <x:c r="C4" t="str">
        <x:v>Sony</x:v>
      </x:c>
      <x:c r="D4" t="str">
        <x:v>Audio</x:v>
      </x:c>
      <x:c r="E4" t="str">
        <x:v>WH-CH520</x:v>
      </x:c>
      <x:c r="F4" t="str">
        <x:v>Croma</x:v>
      </x:c>
      <x:c r="G4" t="str">
        <x:v>CRM-WHCH520</x:v>
      </x:c>
      <x:c r="H4" s="28" t="str">
        <x:v>4490.00</x:v>
      </x:c>
      <x:c r="I4" s="28" t="str">
        <x:v>5990.00</x:v>
      </x:c>
      <x:c r="J4" s="38" t="str">
        <x:v>4.2</x:v>
      </x:c>
      <x:c r="K4" t="str">
        <x:v>814</x:v>
      </x:c>
      <x:c r="L4" t="str">
        <x:v>1</x:v>
      </x:c>
      <x:c r="M4" t="str">
        <x:v>2026-05-20</x:v>
      </x:c>
    </x:row>
    <x:row r="5">
      <x:c r="A5" t="str">
        <x:v>LOG-M331</x:v>
      </x:c>
      <x:c r="B5" t="str">
        <x:v>Logitech M331 Silent Plus Mouse</x:v>
      </x:c>
      <x:c r="C5" t="str">
        <x:v>Logitech</x:v>
      </x:c>
      <x:c r="D5" t="str">
        <x:v>Accessories</x:v>
      </x:c>
      <x:c r="E5" t="str">
        <x:v>M331</x:v>
      </x:c>
      <x:c r="F5" t="str">
        <x:v>Amazon India</x:v>
      </x:c>
      <x:c r="G5" t="str">
        <x:v>AMZ-M331</x:v>
      </x:c>
      <x:c r="H5" s="28" t="str">
        <x:v>899.00</x:v>
      </x:c>
      <x:c r="I5" s="28" t="str">
        <x:v>1295.00</x:v>
      </x:c>
      <x:c r="J5" s="38" t="str">
        <x:v>4.4</x:v>
      </x:c>
      <x:c r="K5" t="str">
        <x:v>32400</x:v>
      </x:c>
      <x:c r="L5" t="str">
        <x:v>1</x:v>
      </x:c>
      <x:c r="M5" t="str">
        <x:v>2026-05-20</x:v>
      </x:c>
    </x:row>
    <x:row r="6">
      <x:c r="A6" t="str">
        <x:v>LOG-M331</x:v>
      </x:c>
      <x:c r="B6" t="str">
        <x:v>Logitech M331 Silent Plus Mouse</x:v>
      </x:c>
      <x:c r="C6" t="str">
        <x:v>Logitech</x:v>
      </x:c>
      <x:c r="D6" t="str">
        <x:v>Accessories</x:v>
      </x:c>
      <x:c r="E6" t="str">
        <x:v>M331</x:v>
      </x:c>
      <x:c r="F6" t="str">
        <x:v>Flipkart</x:v>
      </x:c>
      <x:c r="G6" t="str">
        <x:v>FLP-M331</x:v>
      </x:c>
      <x:c r="H6" s="28" t="str">
        <x:v>879.00</x:v>
      </x:c>
      <x:c r="I6" s="28" t="str">
        <x:v>1295.00</x:v>
      </x:c>
      <x:c r="J6" s="38" t="str">
        <x:v>4.4</x:v>
      </x:c>
      <x:c r="K6" t="str">
        <x:v>17630</x:v>
      </x:c>
      <x:c r="L6" t="str">
        <x:v>1</x:v>
      </x:c>
      <x:c r="M6" t="str">
        <x:v>2026-05-20</x:v>
      </x:c>
    </x:row>
    <x:row r="7">
      <x:c r="A7" t="str">
        <x:v>LOG-M331</x:v>
      </x:c>
      <x:c r="B7" t="str">
        <x:v>Logitech M331 Silent Plus Mouse</x:v>
      </x:c>
      <x:c r="C7" t="str">
        <x:v>Logitech</x:v>
      </x:c>
      <x:c r="D7" t="str">
        <x:v>Accessories</x:v>
      </x:c>
      <x:c r="E7" t="str">
        <x:v>M331</x:v>
      </x:c>
      <x:c r="F7" t="str">
        <x:v>Reliance Digital</x:v>
      </x:c>
      <x:c r="G7" t="str">
        <x:v>RD-M331</x:v>
      </x:c>
      <x:c r="H7" s="28" t="str">
        <x:v>995.00</x:v>
      </x:c>
      <x:c r="I7" s="28" t="str">
        <x:v>1295.00</x:v>
      </x:c>
      <x:c r="J7" s="38" t="str">
        <x:v>4.2</x:v>
      </x:c>
      <x:c r="K7" t="str">
        <x:v>302</x:v>
      </x:c>
      <x:c r="L7" t="str">
        <x:v>1</x:v>
      </x:c>
      <x:c r="M7" t="str">
        <x:v>2026-05-20</x:v>
      </x:c>
    </x:row>
    <x:row r="8">
      <x:c r="A8" t="str">
        <x:v>SAM-T7-1TB</x:v>
      </x:c>
      <x:c r="B8" t="str">
        <x:v>Samsung T7 Portable SSD 1 TB</x:v>
      </x:c>
      <x:c r="C8" t="str">
        <x:v>Samsung</x:v>
      </x:c>
      <x:c r="D8" t="str">
        <x:v>Storage</x:v>
      </x:c>
      <x:c r="E8" t="str">
        <x:v>MU-PC1T0T</x:v>
      </x:c>
      <x:c r="F8" t="str">
        <x:v>Amazon India</x:v>
      </x:c>
      <x:c r="G8" t="str">
        <x:v>AMZ-T7-1TB</x:v>
      </x:c>
      <x:c r="H8" s="28" t="str">
        <x:v>8999.00</x:v>
      </x:c>
      <x:c r="I8" s="28" t="str">
        <x:v>12999.00</x:v>
      </x:c>
      <x:c r="J8" s="38" t="str">
        <x:v>4.7</x:v>
      </x:c>
      <x:c r="K8" t="str">
        <x:v>8122</x:v>
      </x:c>
      <x:c r="L8" t="str">
        <x:v>1</x:v>
      </x:c>
      <x:c r="M8" t="str">
        <x:v>2026-05-20</x:v>
      </x:c>
    </x:row>
    <x:row r="9">
      <x:c r="A9" t="str">
        <x:v>SAM-T7-1TB</x:v>
      </x:c>
      <x:c r="B9" t="str">
        <x:v>Samsung T7 Portable SSD 1 TB</x:v>
      </x:c>
      <x:c r="C9" t="str">
        <x:v>Samsung</x:v>
      </x:c>
      <x:c r="D9" t="str">
        <x:v>Storage</x:v>
      </x:c>
      <x:c r="E9" t="str">
        <x:v>MU-PC1T0T</x:v>
      </x:c>
      <x:c r="F9" t="str">
        <x:v>Flipkart</x:v>
      </x:c>
      <x:c r="G9" t="str">
        <x:v>FLP-T7-1TB</x:v>
      </x:c>
      <x:c r="H9" s="28" t="str">
        <x:v>9299.00</x:v>
      </x:c>
      <x:c r="I9" s="28" t="str">
        <x:v>12999.00</x:v>
      </x:c>
      <x:c r="J9" s="38" t="str">
        <x:v>4.6</x:v>
      </x:c>
      <x:c r="K9" t="str">
        <x:v>4760</x:v>
      </x:c>
      <x:c r="L9" t="str">
        <x:v>1</x:v>
      </x:c>
      <x:c r="M9" t="str">
        <x:v>2026-05-20</x:v>
      </x:c>
    </x:row>
    <x:row r="10">
      <x:c r="A10" t="str">
        <x:v>SAM-T7-1TB</x:v>
      </x:c>
      <x:c r="B10" t="str">
        <x:v>Samsung T7 Portable SSD 1 TB</x:v>
      </x:c>
      <x:c r="C10" t="str">
        <x:v>Samsung</x:v>
      </x:c>
      <x:c r="D10" t="str">
        <x:v>Storage</x:v>
      </x:c>
      <x:c r="E10" t="str">
        <x:v>MU-PC1T0T</x:v>
      </x:c>
      <x:c r="F10" t="str">
        <x:v>Croma</x:v>
      </x:c>
      <x:c r="G10" t="str">
        <x:v>CRM-T7-1TB</x:v>
      </x:c>
      <x:c r="H10" s="28" t="str">
        <x:v>9499.00</x:v>
      </x:c>
      <x:c r="I10" s="28" t="str">
        <x:v>12999.00</x:v>
      </x:c>
      <x:c r="J10" s="38" t="str">
        <x:v>4.5</x:v>
      </x:c>
      <x:c r="K10" t="str">
        <x:v>128</x:v>
      </x:c>
      <x:c r="L10" t="str">
        <x:v>1</x:v>
      </x:c>
      <x:c r="M10" t="str">
        <x:v>2026-05-20</x:v>
      </x:c>
    </x:row>
    <x:row r="11">
      <x:c r="A11" t="str">
        <x:v>HP-15S-I5</x:v>
      </x:c>
      <x:c r="B11" t="str">
        <x:v>HP 15s 12th Gen i5 Laptop</x:v>
      </x:c>
      <x:c r="C11" t="str">
        <x:v>HP</x:v>
      </x:c>
      <x:c r="D11" t="str">
        <x:v>Computers</x:v>
      </x:c>
      <x:c r="E11" t="str">
        <x:v>15S-FQ5111TU</x:v>
      </x:c>
      <x:c r="F11" t="str">
        <x:v>Amazon India</x:v>
      </x:c>
      <x:c r="G11" t="str">
        <x:v>AMZ-HP15S</x:v>
      </x:c>
      <x:c r="H11" s="28" t="str">
        <x:v>51990.00</x:v>
      </x:c>
      <x:c r="I11" s="28" t="str">
        <x:v>62999.00</x:v>
      </x:c>
      <x:c r="J11" s="38" t="str">
        <x:v>4.1</x:v>
      </x:c>
      <x:c r="K11" t="str">
        <x:v>722</x:v>
      </x:c>
      <x:c r="L11" t="str">
        <x:v>1</x:v>
      </x:c>
      <x:c r="M11" t="str">
        <x:v>2026-05-20</x:v>
      </x:c>
    </x:row>
    <x:row r="12">
      <x:c r="A12" t="str">
        <x:v>HP-15S-I5</x:v>
      </x:c>
      <x:c r="B12" t="str">
        <x:v>HP 15s 12th Gen i5 Laptop</x:v>
      </x:c>
      <x:c r="C12" t="str">
        <x:v>HP</x:v>
      </x:c>
      <x:c r="D12" t="str">
        <x:v>Computers</x:v>
      </x:c>
      <x:c r="E12" t="str">
        <x:v>15S-FQ5111TU</x:v>
      </x:c>
      <x:c r="F12" t="str">
        <x:v>Flipkart</x:v>
      </x:c>
      <x:c r="G12" t="str">
        <x:v>FLP-HP15S</x:v>
      </x:c>
      <x:c r="H12" s="28" t="str">
        <x:v>50990.00</x:v>
      </x:c>
      <x:c r="I12" s="28" t="str">
        <x:v>62999.00</x:v>
      </x:c>
      <x:c r="J12" s="38" t="str">
        <x:v>4.2</x:v>
      </x:c>
      <x:c r="K12" t="str">
        <x:v>1281</x:v>
      </x:c>
      <x:c r="L12" t="str">
        <x:v>1</x:v>
      </x:c>
      <x:c r="M12" t="str">
        <x:v>2026-05-20</x:v>
      </x:c>
    </x:row>
    <x:row r="13">
      <x:c r="A13" t="str">
        <x:v>HP-15S-I5</x:v>
      </x:c>
      <x:c r="B13" t="str">
        <x:v>HP 15s 12th Gen i5 Laptop</x:v>
      </x:c>
      <x:c r="C13" t="str">
        <x:v>HP</x:v>
      </x:c>
      <x:c r="D13" t="str">
        <x:v>Computers</x:v>
      </x:c>
      <x:c r="E13" t="str">
        <x:v>15S-FQ5111TU</x:v>
      </x:c>
      <x:c r="F13" t="str">
        <x:v>Croma</x:v>
      </x:c>
      <x:c r="G13" t="str">
        <x:v>CRM-HP15S</x:v>
      </x:c>
      <x:c r="H13" s="28" t="str">
        <x:v>53490.00</x:v>
      </x:c>
      <x:c r="I13" s="28" t="str">
        <x:v>62999.00</x:v>
      </x:c>
      <x:c r="J13" s="38" t="str">
        <x:v>4.0</x:v>
      </x:c>
      <x:c r="K13" t="str">
        <x:v>91</x:v>
      </x:c>
      <x:c r="L13" t="str">
        <x:v>1</x:v>
      </x:c>
      <x:c r="M13" t="str">
        <x:v>2026-05-20</x:v>
      </x:c>
    </x:row>
    <x:row r="14">
      <x:c r="A14" t="str">
        <x:v>JBL-FLIP6</x:v>
      </x:c>
      <x:c r="B14" t="str">
        <x:v>JBL Flip 6 Portable Bluetooth Speaker</x:v>
      </x:c>
      <x:c r="C14" t="str">
        <x:v>JBL</x:v>
      </x:c>
      <x:c r="D14" t="str">
        <x:v>Audio</x:v>
      </x:c>
      <x:c r="E14" t="str">
        <x:v>JBLFLIP6BLK</x:v>
      </x:c>
      <x:c r="F14" t="str">
        <x:v>Amazon India</x:v>
      </x:c>
      <x:c r="G14" t="str">
        <x:v>AMZ-FLIP6</x:v>
      </x:c>
      <x:c r="H14" s="28" t="str">
        <x:v>8999.00</x:v>
      </x:c>
      <x:c r="I14" s="28" t="str">
        <x:v>12999.00</x:v>
      </x:c>
      <x:c r="J14" s="38" t="str">
        <x:v>4.5</x:v>
      </x:c>
      <x:c r="K14" t="str">
        <x:v>5102</x:v>
      </x:c>
      <x:c r="L14" t="str">
        <x:v>1</x:v>
      </x:c>
      <x:c r="M14" t="str">
        <x:v>2026-05-20</x:v>
      </x:c>
    </x:row>
    <x:row r="15">
      <x:c r="A15" t="str">
        <x:v>JBL-FLIP6</x:v>
      </x:c>
      <x:c r="B15" t="str">
        <x:v>JBL Flip 6 Portable Bluetooth Speaker</x:v>
      </x:c>
      <x:c r="C15" t="str">
        <x:v>JBL</x:v>
      </x:c>
      <x:c r="D15" t="str">
        <x:v>Audio</x:v>
      </x:c>
      <x:c r="E15" t="str">
        <x:v>JBLFLIP6BLK</x:v>
      </x:c>
      <x:c r="F15" t="str">
        <x:v>Flipkart</x:v>
      </x:c>
      <x:c r="G15" t="str">
        <x:v>FLP-FLIP6</x:v>
      </x:c>
      <x:c r="H15" s="28" t="str">
        <x:v>8499.00</x:v>
      </x:c>
      <x:c r="I15" s="28" t="str">
        <x:v>12999.00</x:v>
      </x:c>
      <x:c r="J15" s="38" t="str">
        <x:v>4.5</x:v>
      </x:c>
      <x:c r="K15" t="str">
        <x:v>3802</x:v>
      </x:c>
      <x:c r="L15" t="str">
        <x:v>1</x:v>
      </x:c>
      <x:c r="M15" t="str">
        <x:v>2026-05-20</x:v>
      </x:c>
    </x:row>
    <x:row r="16">
      <x:c r="A16" t="str">
        <x:v>JBL-FLIP6</x:v>
      </x:c>
      <x:c r="B16" t="str">
        <x:v>JBL Flip 6 Portable Bluetooth Speaker</x:v>
      </x:c>
      <x:c r="C16" t="str">
        <x:v>JBL</x:v>
      </x:c>
      <x:c r="D16" t="str">
        <x:v>Audio</x:v>
      </x:c>
      <x:c r="E16" t="str">
        <x:v>JBLFLIP6BLK</x:v>
      </x:c>
      <x:c r="F16" t="str">
        <x:v>Reliance Digital</x:v>
      </x:c>
      <x:c r="G16" t="str">
        <x:v>RD-FLIP6</x:v>
      </x:c>
      <x:c r="H16" s="28" t="str">
        <x:v>9499.00</x:v>
      </x:c>
      <x:c r="I16" s="28" t="str">
        <x:v>12999.00</x:v>
      </x:c>
      <x:c r="J16" s="38" t="str">
        <x:v>4.4</x:v>
      </x:c>
      <x:c r="K16" t="str">
        <x:v>96</x:v>
      </x:c>
      <x:c r="L16" t="str">
        <x:v>1</x:v>
      </x:c>
      <x:c r="M16" t="str">
        <x:v>2026-05-20</x:v>
      </x:c>
    </x:row>
    <x:row r="17">
      <x:c r="A17" t="str">
        <x:v>PHL-AF3000</x:v>
      </x:c>
      <x:c r="B17" t="str">
        <x:v>Philips Air Fryer 4.1 L</x:v>
      </x:c>
      <x:c r="C17" t="str">
        <x:v>Philips</x:v>
      </x:c>
      <x:c r="D17" t="str">
        <x:v>Kitchen Appliances</x:v>
      </x:c>
      <x:c r="E17" t="str">
        <x:v>HD9200-90</x:v>
      </x:c>
      <x:c r="F17" t="str">
        <x:v>Amazon India</x:v>
      </x:c>
      <x:c r="G17" t="str">
        <x:v>AMZ-AF3000</x:v>
      </x:c>
      <x:c r="H17" s="28" t="str">
        <x:v>6299.00</x:v>
      </x:c>
      <x:c r="I17" s="28" t="str">
        <x:v>9995.00</x:v>
      </x:c>
      <x:c r="J17" s="38" t="str">
        <x:v>4.4</x:v>
      </x:c>
      <x:c r="K17" t="str">
        <x:v>9230</x:v>
      </x:c>
      <x:c r="L17" t="str">
        <x:v>1</x:v>
      </x:c>
      <x:c r="M17" t="str">
        <x:v>2026-05-20</x:v>
      </x:c>
    </x:row>
    <x:row r="18">
      <x:c r="A18" t="str">
        <x:v>PHL-AF3000</x:v>
      </x:c>
      <x:c r="B18" t="str">
        <x:v>Philips Air Fryer 4.1 L</x:v>
      </x:c>
      <x:c r="C18" t="str">
        <x:v>Philips</x:v>
      </x:c>
      <x:c r="D18" t="str">
        <x:v>Kitchen Appliances</x:v>
      </x:c>
      <x:c r="E18" t="str">
        <x:v>HD9200-90</x:v>
      </x:c>
      <x:c r="F18" t="str">
        <x:v>Flipkart</x:v>
      </x:c>
      <x:c r="G18" t="str">
        <x:v>FLP-AF3000</x:v>
      </x:c>
      <x:c r="H18" s="28" t="str">
        <x:v>5999.00</x:v>
      </x:c>
      <x:c r="I18" s="28" t="str">
        <x:v>9995.00</x:v>
      </x:c>
      <x:c r="J18" s="38" t="str">
        <x:v>4.3</x:v>
      </x:c>
      <x:c r="K18" t="str">
        <x:v>6102</x:v>
      </x:c>
      <x:c r="L18" t="str">
        <x:v>1</x:v>
      </x:c>
      <x:c r="M18" t="str">
        <x:v>2026-05-20</x:v>
      </x:c>
    </x:row>
    <x:row r="19">
      <x:c r="A19" t="str">
        <x:v>PHL-AF3000</x:v>
      </x:c>
      <x:c r="B19" t="str">
        <x:v>Philips Air Fryer 4.1 L</x:v>
      </x:c>
      <x:c r="C19" t="str">
        <x:v>Philips</x:v>
      </x:c>
      <x:c r="D19" t="str">
        <x:v>Kitchen Appliances</x:v>
      </x:c>
      <x:c r="E19" t="str">
        <x:v>HD9200-90</x:v>
      </x:c>
      <x:c r="F19" t="str">
        <x:v>Croma</x:v>
      </x:c>
      <x:c r="G19" t="str">
        <x:v>CRM-AF3000</x:v>
      </x:c>
      <x:c r="H19" s="28" t="str">
        <x:v>6799.00</x:v>
      </x:c>
      <x:c r="I19" s="28" t="str">
        <x:v>9995.00</x:v>
      </x:c>
      <x:c r="J19" s="38" t="str">
        <x:v>4.3</x:v>
      </x:c>
      <x:c r="K19" t="str">
        <x:v>206</x:v>
      </x:c>
      <x:c r="L19" t="str">
        <x:v>1</x:v>
      </x:c>
      <x:c r="M19" t="str">
        <x:v>2026-05-20</x:v>
      </x:c>
    </x:row>
    <x:row r="20">
      <x:c r="A20" t="str">
        <x:v>PRE-KETTLE</x:v>
      </x:c>
      <x:c r="B20" t="str">
        <x:v>Prestige Electric Kettle 1.5 L</x:v>
      </x:c>
      <x:c r="C20" t="str">
        <x:v>Prestige</x:v>
      </x:c>
      <x:c r="D20" t="str">
        <x:v>Kitchen Appliances</x:v>
      </x:c>
      <x:c r="E20" t="str">
        <x:v>PKOSS-1.5</x:v>
      </x:c>
      <x:c r="F20" t="str">
        <x:v>Amazon India</x:v>
      </x:c>
      <x:c r="G20" t="str">
        <x:v>AMZ-PKOSS</x:v>
      </x:c>
      <x:c r="H20" s="28" t="str">
        <x:v>799.00</x:v>
      </x:c>
      <x:c r="I20" s="28" t="str">
        <x:v>1445.00</x:v>
      </x:c>
      <x:c r="J20" s="38" t="str">
        <x:v>4.2</x:v>
      </x:c>
      <x:c r="K20" t="str">
        <x:v>44581</x:v>
      </x:c>
      <x:c r="L20" t="str">
        <x:v>1</x:v>
      </x:c>
      <x:c r="M20" t="str">
        <x:v>2026-05-20</x:v>
      </x:c>
    </x:row>
    <x:row r="21">
      <x:c r="A21" t="str">
        <x:v>PRE-KETTLE</x:v>
      </x:c>
      <x:c r="B21" t="str">
        <x:v>Prestige Electric Kettle 1.5 L</x:v>
      </x:c>
      <x:c r="C21" t="str">
        <x:v>Prestige</x:v>
      </x:c>
      <x:c r="D21" t="str">
        <x:v>Kitchen Appliances</x:v>
      </x:c>
      <x:c r="E21" t="str">
        <x:v>PKOSS-1.5</x:v>
      </x:c>
      <x:c r="F21" t="str">
        <x:v>Flipkart</x:v>
      </x:c>
      <x:c r="G21" t="str">
        <x:v>FLP-PKOSS</x:v>
      </x:c>
      <x:c r="H21" s="28" t="str">
        <x:v>749.00</x:v>
      </x:c>
      <x:c r="I21" s="28" t="str">
        <x:v>1445.00</x:v>
      </x:c>
      <x:c r="J21" s="38" t="str">
        <x:v>4.2</x:v>
      </x:c>
      <x:c r="K21" t="str">
        <x:v>28229</x:v>
      </x:c>
      <x:c r="L21" t="str">
        <x:v>1</x:v>
      </x:c>
      <x:c r="M21" t="str">
        <x:v>2026-05-20</x:v>
      </x:c>
    </x:row>
    <x:row r="22">
      <x:c r="A22" t="str">
        <x:v>PRE-KETTLE</x:v>
      </x:c>
      <x:c r="B22" t="str">
        <x:v>Prestige Electric Kettle 1.5 L</x:v>
      </x:c>
      <x:c r="C22" t="str">
        <x:v>Prestige</x:v>
      </x:c>
      <x:c r="D22" t="str">
        <x:v>Kitchen Appliances</x:v>
      </x:c>
      <x:c r="E22" t="str">
        <x:v>PKOSS-1.5</x:v>
      </x:c>
      <x:c r="F22" t="str">
        <x:v>Reliance Digital</x:v>
      </x:c>
      <x:c r="G22" t="str">
        <x:v>RD-PKOSS</x:v>
      </x:c>
      <x:c r="H22" s="28" t="str">
        <x:v>899.00</x:v>
      </x:c>
      <x:c r="I22" s="28" t="str">
        <x:v>1445.00</x:v>
      </x:c>
      <x:c r="J22" s="38" t="str">
        <x:v>4.0</x:v>
      </x:c>
      <x:c r="K22" t="str">
        <x:v>118</x:v>
      </x:c>
      <x:c r="L22" t="str">
        <x:v>0</x:v>
      </x:c>
      <x:c r="M22" t="str">
        <x:v>2026-05-20</x:v>
      </x:c>
    </x:row>
    <x:row r="23">
      <x:c r="A23" t="str">
        <x:v>MI-POWER20K</x:v>
      </x:c>
      <x:c r="B23" t="str">
        <x:v>Xiaomi 20000 mAh Power Bank</x:v>
      </x:c>
      <x:c r="C23" t="str">
        <x:v>Xiaomi</x:v>
      </x:c>
      <x:c r="D23" t="str">
        <x:v>Accessories</x:v>
      </x:c>
      <x:c r="E23" t="str">
        <x:v>PB2022ZM</x:v>
      </x:c>
      <x:c r="F23" t="str">
        <x:v>Amazon India</x:v>
      </x:c>
      <x:c r="G23" t="str">
        <x:v>AMZ-MIPB20</x:v>
      </x:c>
      <x:c r="H23" s="28" t="str">
        <x:v>1999.00</x:v>
      </x:c>
      <x:c r="I23" s="28" t="str">
        <x:v>2999.00</x:v>
      </x:c>
      <x:c r="J23" s="38" t="str">
        <x:v>4.3</x:v>
      </x:c>
      <x:c r="K23" t="str">
        <x:v>6511</x:v>
      </x:c>
      <x:c r="L23" t="str">
        <x:v>1</x:v>
      </x:c>
      <x:c r="M23" t="str">
        <x:v>2026-05-20</x:v>
      </x:c>
    </x:row>
    <x:row r="24">
      <x:c r="A24" t="str">
        <x:v>MI-POWER20K</x:v>
      </x:c>
      <x:c r="B24" t="str">
        <x:v>Xiaomi 20000 mAh Power Bank</x:v>
      </x:c>
      <x:c r="C24" t="str">
        <x:v>Xiaomi</x:v>
      </x:c>
      <x:c r="D24" t="str">
        <x:v>Accessories</x:v>
      </x:c>
      <x:c r="E24" t="str">
        <x:v>PB2022ZM</x:v>
      </x:c>
      <x:c r="F24" t="str">
        <x:v>Flipkart</x:v>
      </x:c>
      <x:c r="G24" t="str">
        <x:v>FLP-MIPB20</x:v>
      </x:c>
      <x:c r="H24" s="28" t="str">
        <x:v>1899.00</x:v>
      </x:c>
      <x:c r="I24" s="28" t="str">
        <x:v>2999.00</x:v>
      </x:c>
      <x:c r="J24" s="38" t="str">
        <x:v>4.2</x:v>
      </x:c>
      <x:c r="K24" t="str">
        <x:v>8812</x:v>
      </x:c>
      <x:c r="L24" t="str">
        <x:v>1</x:v>
      </x:c>
      <x:c r="M24" t="str">
        <x:v>2026-05-20</x:v>
      </x:c>
    </x:row>
    <x:row r="25">
      <x:c r="A25" t="str">
        <x:v>MI-POWER20K</x:v>
      </x:c>
      <x:c r="B25" t="str">
        <x:v>Xiaomi 20000 mAh Power Bank</x:v>
      </x:c>
      <x:c r="C25" t="str">
        <x:v>Xiaomi</x:v>
      </x:c>
      <x:c r="D25" t="str">
        <x:v>Accessories</x:v>
      </x:c>
      <x:c r="E25" t="str">
        <x:v>PB2022ZM</x:v>
      </x:c>
      <x:c r="F25" t="str">
        <x:v>Croma</x:v>
      </x:c>
      <x:c r="G25" t="str">
        <x:v>CRM-MIPB20</x:v>
      </x:c>
      <x:c r="H25" s="28" t="str">
        <x:v>2199.00</x:v>
      </x:c>
      <x:c r="I25" s="28" t="str">
        <x:v>2999.00</x:v>
      </x:c>
      <x:c r="J25" s="38" t="str">
        <x:v>4.1</x:v>
      </x:c>
      <x:c r="K25" t="str">
        <x:v>215</x:v>
      </x:c>
      <x:c r="L25" t="str">
        <x:v>1</x:v>
      </x:c>
      <x:c r="M25" t="str">
        <x:v>2026-05-20</x:v>
      </x:c>
    </x:row>
    <x:row r="26">
      <x:c r="A26" t="str">
        <x:v>DELL-S2421</x:v>
      </x:c>
      <x:c r="B26" t="str">
        <x:v>Dell 24 Inch FHD Monitor</x:v>
      </x:c>
      <x:c r="C26" t="str">
        <x:v>Dell</x:v>
      </x:c>
      <x:c r="D26" t="str">
        <x:v>Monitors</x:v>
      </x:c>
      <x:c r="E26" t="str">
        <x:v>S2421HN</x:v>
      </x:c>
      <x:c r="F26" t="str">
        <x:v>Amazon India</x:v>
      </x:c>
      <x:c r="G26" t="str">
        <x:v>AMZ-S2421</x:v>
      </x:c>
      <x:c r="H26" s="28" t="str">
        <x:v>10999.00</x:v>
      </x:c>
      <x:c r="I26" s="28" t="str">
        <x:v>16499.00</x:v>
      </x:c>
      <x:c r="J26" s="38" t="str">
        <x:v>4.4</x:v>
      </x:c>
      <x:c r="K26" t="str">
        <x:v>2232</x:v>
      </x:c>
      <x:c r="L26" t="str">
        <x:v>1</x:v>
      </x:c>
      <x:c r="M26" t="str">
        <x:v>2026-05-20</x:v>
      </x:c>
    </x:row>
    <x:row r="27">
      <x:c r="A27" t="str">
        <x:v>DELL-S2421</x:v>
      </x:c>
      <x:c r="B27" t="str">
        <x:v>Dell 24 Inch FHD Monitor</x:v>
      </x:c>
      <x:c r="C27" t="str">
        <x:v>Dell</x:v>
      </x:c>
      <x:c r="D27" t="str">
        <x:v>Monitors</x:v>
      </x:c>
      <x:c r="E27" t="str">
        <x:v>S2421HN</x:v>
      </x:c>
      <x:c r="F27" t="str">
        <x:v>Flipkart</x:v>
      </x:c>
      <x:c r="G27" t="str">
        <x:v>FLP-S2421</x:v>
      </x:c>
      <x:c r="H27" s="28" t="str">
        <x:v>10799.00</x:v>
      </x:c>
      <x:c r="I27" s="28" t="str">
        <x:v>16499.00</x:v>
      </x:c>
      <x:c r="J27" s="38" t="str">
        <x:v>4.3</x:v>
      </x:c>
      <x:c r="K27" t="str">
        <x:v>1429</x:v>
      </x:c>
      <x:c r="L27" t="str">
        <x:v>1</x:v>
      </x:c>
      <x:c r="M27" t="str">
        <x:v>2026-05-20</x:v>
      </x:c>
    </x:row>
    <x:row r="28">
      <x:c r="A28" t="str">
        <x:v>DELL-S2421</x:v>
      </x:c>
      <x:c r="B28" t="str">
        <x:v>Dell 24 Inch FHD Monitor</x:v>
      </x:c>
      <x:c r="C28" t="str">
        <x:v>Dell</x:v>
      </x:c>
      <x:c r="D28" t="str">
        <x:v>Monitors</x:v>
      </x:c>
      <x:c r="E28" t="str">
        <x:v>S2421HN</x:v>
      </x:c>
      <x:c r="F28" t="str">
        <x:v>Croma</x:v>
      </x:c>
      <x:c r="G28" t="str">
        <x:v>CRM-S2421</x:v>
      </x:c>
      <x:c r="H28" s="28" t="str">
        <x:v>11499.00</x:v>
      </x:c>
      <x:c r="I28" s="28" t="str">
        <x:v>16499.00</x:v>
      </x:c>
      <x:c r="J28" s="38" t="str">
        <x:v>4.2</x:v>
      </x:c>
      <x:c r="K28" t="str">
        <x:v>84</x:v>
      </x:c>
      <x:c r="L28" t="str">
        <x:v>1</x:v>
      </x:c>
      <x:c r="M28" t="str">
        <x:v>2026-05-20</x:v>
      </x:c>
    </x:row>
    <x:row r="29">
      <x:c r="A29" t="str">
        <x:v>CAN-E4570</x:v>
      </x:c>
      <x:c r="B29" t="str">
        <x:v>Canon PIXMA E4570 Printer</x:v>
      </x:c>
      <x:c r="C29" t="str">
        <x:v>Canon</x:v>
      </x:c>
      <x:c r="D29" t="str">
        <x:v>Printers</x:v>
      </x:c>
      <x:c r="E29" t="str">
        <x:v>E4570</x:v>
      </x:c>
      <x:c r="F29" t="str">
        <x:v>Amazon India</x:v>
      </x:c>
      <x:c r="G29" t="str">
        <x:v>AMZ-E4570</x:v>
      </x:c>
      <x:c r="H29" s="28" t="str">
        <x:v>5799.00</x:v>
      </x:c>
      <x:c r="I29" s="28" t="str">
        <x:v>7595.00</x:v>
      </x:c>
      <x:c r="J29" s="38" t="str">
        <x:v>4.0</x:v>
      </x:c>
      <x:c r="K29" t="str">
        <x:v>1940</x:v>
      </x:c>
      <x:c r="L29" t="str">
        <x:v>1</x:v>
      </x:c>
      <x:c r="M29" t="str">
        <x:v>2026-05-20</x:v>
      </x:c>
    </x:row>
    <x:row r="30">
      <x:c r="A30" t="str">
        <x:v>CAN-E4570</x:v>
      </x:c>
      <x:c r="B30" t="str">
        <x:v>Canon PIXMA E4570 Printer</x:v>
      </x:c>
      <x:c r="C30" t="str">
        <x:v>Canon</x:v>
      </x:c>
      <x:c r="D30" t="str">
        <x:v>Printers</x:v>
      </x:c>
      <x:c r="E30" t="str">
        <x:v>E4570</x:v>
      </x:c>
      <x:c r="F30" t="str">
        <x:v>Flipkart</x:v>
      </x:c>
      <x:c r="G30" t="str">
        <x:v>FLP-E4570</x:v>
      </x:c>
      <x:c r="H30" s="28" t="str">
        <x:v>5649.00</x:v>
      </x:c>
      <x:c r="I30" s="28" t="str">
        <x:v>7595.00</x:v>
      </x:c>
      <x:c r="J30" s="38" t="str">
        <x:v>4.1</x:v>
      </x:c>
      <x:c r="K30" t="str">
        <x:v>1107</x:v>
      </x:c>
      <x:c r="L30" t="str">
        <x:v>1</x:v>
      </x:c>
      <x:c r="M30" t="str">
        <x:v>2026-05-20</x:v>
      </x:c>
    </x:row>
    <x:row r="31">
      <x:c r="A31" t="str">
        <x:v>CAN-E4570</x:v>
      </x:c>
      <x:c r="B31" t="str">
        <x:v>Canon PIXMA E4570 Printer</x:v>
      </x:c>
      <x:c r="C31" t="str">
        <x:v>Canon</x:v>
      </x:c>
      <x:c r="D31" t="str">
        <x:v>Printers</x:v>
      </x:c>
      <x:c r="E31" t="str">
        <x:v>E4570</x:v>
      </x:c>
      <x:c r="F31" t="str">
        <x:v>Reliance Digital</x:v>
      </x:c>
      <x:c r="G31" t="str">
        <x:v>RD-E4570</x:v>
      </x:c>
      <x:c r="H31" s="28" t="str">
        <x:v>5999.00</x:v>
      </x:c>
      <x:c r="I31" s="28" t="str">
        <x:v>7595.00</x:v>
      </x:c>
      <x:c r="J31" s="38" t="str">
        <x:v>3.9</x:v>
      </x:c>
      <x:c r="K31" t="str">
        <x:v>72</x:v>
      </x:c>
      <x:c r="L31" t="str">
        <x:v>1</x:v>
      </x:c>
      <x:c r="M31" t="str">
        <x:v>2026-05-20</x:v>
      </x:c>
    </x:row>
  </x:sheetData>
  <x:conditionalFormatting sqref="L2:L31">
    <x:cfRule type="cellIs" dxfId="0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c6663ef4b5f4f8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1" hidden="0" customWidth="1"/>
    <x:col min="3" max="3" width="11" hidden="0" customWidth="1"/>
    <x:col min="4" max="4" width="17" hidden="0" customWidth="1"/>
    <x:col min="5" max="5" width="17" hidden="0" customWidth="1"/>
    <x:col min="6" max="6" width="17" hidden="0" customWidth="1"/>
    <x:col min="7" max="7" width="20" hidden="0" customWidth="1"/>
    <x:col min="8" max="8" width="3" hidden="0" customWidth="1"/>
    <x:col min="9" max="9" width="32" hidden="0" customWidth="1"/>
    <x:col min="10" max="10" width="14" hidden="0" customWidth="1"/>
  </x:cols>
  <x:sheetData>
    <x:row r="1" ht="34" customHeight="1">
      <x:c r="A1" s="8" t="str">
        <x:v>Market Research and Price Comparison</x:v>
      </x:c>
      <x:c r="B1" s="8"/>
      <x:c r="C1" s="8"/>
      <x:c r="D1" s="8"/>
      <x:c r="E1" s="8"/>
      <x:c r="F1" s="8"/>
      <x:c r="G1" s="8"/>
      <x:c r="H1" s="8"/>
    </x:row>
    <x:row r="2" ht="24" customHeight="1">
      <x:c r="A2" s="14" t="str">
        <x:v>Educational sample dataset in INR | Capture date: 2026-05-20 | Not live market pricing</x:v>
      </x:c>
      <x:c r="B2" s="14"/>
      <x:c r="C2" s="14"/>
      <x:c r="D2" s="14"/>
      <x:c r="E2" s="14"/>
      <x:c r="F2" s="14"/>
      <x:c r="G2" s="14"/>
      <x:c r="H2" s="14"/>
    </x:row>
    <x:row r="3" ht="25" customHeight="1">
      <x:c r="A3" s="20" t="str">
        <x:v>Products</x:v>
      </x:c>
      <x:c r="B3" s="20" t="str"/>
      <x:c r="C3" s="20" t="str">
        <x:v>Observations</x:v>
      </x:c>
      <x:c r="D3" s="20" t="str"/>
      <x:c r="E3" s="20" t="str">
        <x:v>Retailers</x:v>
      </x:c>
      <x:c r="F3" s="20" t="str"/>
      <x:c r="G3" s="20" t="str">
        <x:v>Largest Saving</x:v>
      </x:c>
      <x:c r="H3" s="20" t="str"/>
    </x:row>
    <x:row r="4" ht="25" customHeight="1">
      <x:c r="A4" s="24" t="n">
        <x:f>COUNTA(A8:A17)</x:f>
        <x:v>10</x:v>
      </x:c>
      <x:c r="B4" s="24" t="str"/>
      <x:c r="C4" s="24" t="n">
        <x:f>COUNTA('Raw Prices'!A2:A31)</x:f>
        <x:v>30</x:v>
      </x:c>
      <x:c r="D4" s="24" t="str"/>
      <x:c r="E4" s="24" t="n">
        <x:f>COUNTA(UNIQUE('Raw Prices'!F2:F31))</x:f>
        <x:v>4</x:v>
      </x:c>
      <x:c r="F4" s="24" t="str"/>
      <x:c r="G4" s="26" t="n">
        <x:f>MAX(F8:F17)</x:f>
        <x:v>2500</x:v>
      </x:c>
      <x:c r="H4" s="24" t="str"/>
    </x:row>
    <x:row r="7">
      <x:c r="A7" t="str">
        <x:v>Product</x:v>
      </x:c>
      <x:c r="B7" t="str">
        <x:v>Category</x:v>
      </x:c>
      <x:c r="C7" t="str">
        <x:v>Offers</x:v>
      </x:c>
      <x:c r="D7" t="str">
        <x:v>Lowest Price</x:v>
      </x:c>
      <x:c r="E7" t="str">
        <x:v>Highest Price</x:v>
      </x:c>
      <x:c r="F7" t="str">
        <x:v>Possible Saving</x:v>
      </x:c>
      <x:c r="G7" t="str">
        <x:v>Cheapest Retailer</x:v>
      </x:c>
      <x:c r="I7" s="30" t="str">
        <x:v>Product</x:v>
      </x:c>
      <x:c r="J7" s="30" t="str">
        <x:v>Saving INR</x:v>
      </x:c>
    </x:row>
    <x:row r="8">
      <x:c r="A8" t="str">
        <x:v>Sony WH-CH520 Wireless Headphones</x:v>
      </x:c>
      <x:c r="B8" t="str">
        <x:f>INDEX('Raw Prices'!$D$2:$D$31,MATCH(A8,'Raw Prices'!$B$2:$B$31,0))</x:f>
        <x:v>Audio</x:v>
      </x:c>
      <x:c r="C8" t="n">
        <x:f>COUNTIF('Raw Prices'!$B$2:$B$31,A8)</x:f>
        <x:v>3</x:v>
      </x:c>
      <x:c r="D8" s="28" t="n">
        <x:f>MINIFS('Raw Prices'!$H$2:$H$31,'Raw Prices'!$B$2:$B$31,A8,'Raw Prices'!$L$2:$L$31,1)</x:f>
        <x:v>3988</x:v>
      </x:c>
      <x:c r="E8" s="28" t="n">
        <x:f>MAXIFS('Raw Prices'!$H$2:$H$31,'Raw Prices'!$B$2:$B$31,A8,'Raw Prices'!$L$2:$L$31,1)</x:f>
        <x:v>4490</x:v>
      </x:c>
      <x:c r="F8" s="28" t="n">
        <x:f>E8-D8</x:f>
        <x:v>502</x:v>
      </x:c>
      <x:c r="G8" t="str">
        <x:f>INDEX('Raw Prices'!$F$2:$F$31,MATCH(D8,'Raw Prices'!$H$2:$H$31,0))</x:f>
        <x:v>Amazon India</x:v>
      </x:c>
      <x:c r="I8" t="str">
        <x:f>A8</x:f>
        <x:v>Sony WH-CH520 Wireless Headphones</x:v>
      </x:c>
      <x:c r="J8" s="32" t="n">
        <x:f>F8</x:f>
        <x:v>502</x:v>
      </x:c>
    </x:row>
    <x:row r="9">
      <x:c r="A9" t="str">
        <x:v>Logitech M331 Silent Plus Mouse</x:v>
      </x:c>
      <x:c r="B9" t="str">
        <x:f>INDEX('Raw Prices'!$D$2:$D$31,MATCH(A9,'Raw Prices'!$B$2:$B$31,0))</x:f>
        <x:v>Accessories</x:v>
      </x:c>
      <x:c r="C9" t="n">
        <x:f>COUNTIF('Raw Prices'!$B$2:$B$31,A9)</x:f>
        <x:v>3</x:v>
      </x:c>
      <x:c r="D9" s="28" t="n">
        <x:f>MINIFS('Raw Prices'!$H$2:$H$31,'Raw Prices'!$B$2:$B$31,A9,'Raw Prices'!$L$2:$L$31,1)</x:f>
        <x:v>879</x:v>
      </x:c>
      <x:c r="E9" s="28" t="n">
        <x:f>MAXIFS('Raw Prices'!$H$2:$H$31,'Raw Prices'!$B$2:$B$31,A9,'Raw Prices'!$L$2:$L$31,1)</x:f>
        <x:v>995</x:v>
      </x:c>
      <x:c r="F9" s="28" t="n">
        <x:f>E9-D9</x:f>
        <x:v>116</x:v>
      </x:c>
      <x:c r="G9" t="str">
        <x:f>INDEX('Raw Prices'!$F$2:$F$31,MATCH(D9,'Raw Prices'!$H$2:$H$31,0))</x:f>
        <x:v>Flipkart</x:v>
      </x:c>
      <x:c r="I9" t="str">
        <x:f>A9</x:f>
        <x:v>Logitech M331 Silent Plus Mouse</x:v>
      </x:c>
      <x:c r="J9" s="32" t="n">
        <x:f>F9</x:f>
        <x:v>116</x:v>
      </x:c>
    </x:row>
    <x:row r="10">
      <x:c r="A10" t="str">
        <x:v>Samsung T7 Portable SSD 1 TB</x:v>
      </x:c>
      <x:c r="B10" t="str">
        <x:f>INDEX('Raw Prices'!$D$2:$D$31,MATCH(A10,'Raw Prices'!$B$2:$B$31,0))</x:f>
        <x:v>Storage</x:v>
      </x:c>
      <x:c r="C10" t="n">
        <x:f>COUNTIF('Raw Prices'!$B$2:$B$31,A10)</x:f>
        <x:v>3</x:v>
      </x:c>
      <x:c r="D10" s="28" t="n">
        <x:f>MINIFS('Raw Prices'!$H$2:$H$31,'Raw Prices'!$B$2:$B$31,A10,'Raw Prices'!$L$2:$L$31,1)</x:f>
        <x:v>8999</x:v>
      </x:c>
      <x:c r="E10" s="28" t="n">
        <x:f>MAXIFS('Raw Prices'!$H$2:$H$31,'Raw Prices'!$B$2:$B$31,A10,'Raw Prices'!$L$2:$L$31,1)</x:f>
        <x:v>9499</x:v>
      </x:c>
      <x:c r="F10" s="28" t="n">
        <x:f>E10-D10</x:f>
        <x:v>500</x:v>
      </x:c>
      <x:c r="G10" t="str">
        <x:f>INDEX('Raw Prices'!$F$2:$F$31,MATCH(D10,'Raw Prices'!$H$2:$H$31,0))</x:f>
        <x:v>Amazon India</x:v>
      </x:c>
      <x:c r="I10" t="str">
        <x:f>A10</x:f>
        <x:v>Samsung T7 Portable SSD 1 TB</x:v>
      </x:c>
      <x:c r="J10" s="32" t="n">
        <x:f>F10</x:f>
        <x:v>500</x:v>
      </x:c>
    </x:row>
    <x:row r="11">
      <x:c r="A11" t="str">
        <x:v>HP 15s 12th Gen i5 Laptop</x:v>
      </x:c>
      <x:c r="B11" t="str">
        <x:f>INDEX('Raw Prices'!$D$2:$D$31,MATCH(A11,'Raw Prices'!$B$2:$B$31,0))</x:f>
        <x:v>Computers</x:v>
      </x:c>
      <x:c r="C11" t="n">
        <x:f>COUNTIF('Raw Prices'!$B$2:$B$31,A11)</x:f>
        <x:v>3</x:v>
      </x:c>
      <x:c r="D11" s="28" t="n">
        <x:f>MINIFS('Raw Prices'!$H$2:$H$31,'Raw Prices'!$B$2:$B$31,A11,'Raw Prices'!$L$2:$L$31,1)</x:f>
        <x:v>50990</x:v>
      </x:c>
      <x:c r="E11" s="28" t="n">
        <x:f>MAXIFS('Raw Prices'!$H$2:$H$31,'Raw Prices'!$B$2:$B$31,A11,'Raw Prices'!$L$2:$L$31,1)</x:f>
        <x:v>53490</x:v>
      </x:c>
      <x:c r="F11" s="28" t="n">
        <x:f>E11-D11</x:f>
        <x:v>2500</x:v>
      </x:c>
      <x:c r="G11" t="str">
        <x:f>INDEX('Raw Prices'!$F$2:$F$31,MATCH(D11,'Raw Prices'!$H$2:$H$31,0))</x:f>
        <x:v>Flipkart</x:v>
      </x:c>
      <x:c r="I11" t="str">
        <x:f>A11</x:f>
        <x:v>HP 15s 12th Gen i5 Laptop</x:v>
      </x:c>
      <x:c r="J11" s="32" t="n">
        <x:f>F11</x:f>
        <x:v>2500</x:v>
      </x:c>
    </x:row>
    <x:row r="12">
      <x:c r="A12" t="str">
        <x:v>JBL Flip 6 Portable Bluetooth Speaker</x:v>
      </x:c>
      <x:c r="B12" t="str">
        <x:f>INDEX('Raw Prices'!$D$2:$D$31,MATCH(A12,'Raw Prices'!$B$2:$B$31,0))</x:f>
        <x:v>Audio</x:v>
      </x:c>
      <x:c r="C12" t="n">
        <x:f>COUNTIF('Raw Prices'!$B$2:$B$31,A12)</x:f>
        <x:v>3</x:v>
      </x:c>
      <x:c r="D12" s="28" t="n">
        <x:f>MINIFS('Raw Prices'!$H$2:$H$31,'Raw Prices'!$B$2:$B$31,A12,'Raw Prices'!$L$2:$L$31,1)</x:f>
        <x:v>8499</x:v>
      </x:c>
      <x:c r="E12" s="28" t="n">
        <x:f>MAXIFS('Raw Prices'!$H$2:$H$31,'Raw Prices'!$B$2:$B$31,A12,'Raw Prices'!$L$2:$L$31,1)</x:f>
        <x:v>9499</x:v>
      </x:c>
      <x:c r="F12" s="28" t="n">
        <x:f>E12-D12</x:f>
        <x:v>1000</x:v>
      </x:c>
      <x:c r="G12" t="str">
        <x:f>INDEX('Raw Prices'!$F$2:$F$31,MATCH(D12,'Raw Prices'!$H$2:$H$31,0))</x:f>
        <x:v>Flipkart</x:v>
      </x:c>
      <x:c r="I12" t="str">
        <x:f>A12</x:f>
        <x:v>JBL Flip 6 Portable Bluetooth Speaker</x:v>
      </x:c>
      <x:c r="J12" s="32" t="n">
        <x:f>F12</x:f>
        <x:v>1000</x:v>
      </x:c>
    </x:row>
    <x:row r="13">
      <x:c r="A13" t="str">
        <x:v>Philips Air Fryer 4.1 L</x:v>
      </x:c>
      <x:c r="B13" t="str">
        <x:f>INDEX('Raw Prices'!$D$2:$D$31,MATCH(A13,'Raw Prices'!$B$2:$B$31,0))</x:f>
        <x:v>Kitchen Appliances</x:v>
      </x:c>
      <x:c r="C13" t="n">
        <x:f>COUNTIF('Raw Prices'!$B$2:$B$31,A13)</x:f>
        <x:v>3</x:v>
      </x:c>
      <x:c r="D13" s="28" t="n">
        <x:f>MINIFS('Raw Prices'!$H$2:$H$31,'Raw Prices'!$B$2:$B$31,A13,'Raw Prices'!$L$2:$L$31,1)</x:f>
        <x:v>5999</x:v>
      </x:c>
      <x:c r="E13" s="28" t="n">
        <x:f>MAXIFS('Raw Prices'!$H$2:$H$31,'Raw Prices'!$B$2:$B$31,A13,'Raw Prices'!$L$2:$L$31,1)</x:f>
        <x:v>6799</x:v>
      </x:c>
      <x:c r="F13" s="28" t="n">
        <x:f>E13-D13</x:f>
        <x:v>800</x:v>
      </x:c>
      <x:c r="G13" t="str">
        <x:f>INDEX('Raw Prices'!$F$2:$F$31,MATCH(D13,'Raw Prices'!$H$2:$H$31,0))</x:f>
        <x:v>Flipkart</x:v>
      </x:c>
      <x:c r="I13" t="str">
        <x:f>A13</x:f>
        <x:v>Philips Air Fryer 4.1 L</x:v>
      </x:c>
      <x:c r="J13" s="32" t="n">
        <x:f>F13</x:f>
        <x:v>800</x:v>
      </x:c>
    </x:row>
    <x:row r="14">
      <x:c r="A14" t="str">
        <x:v>Prestige Electric Kettle 1.5 L</x:v>
      </x:c>
      <x:c r="B14" t="str">
        <x:f>INDEX('Raw Prices'!$D$2:$D$31,MATCH(A14,'Raw Prices'!$B$2:$B$31,0))</x:f>
        <x:v>Kitchen Appliances</x:v>
      </x:c>
      <x:c r="C14" t="n">
        <x:f>COUNTIF('Raw Prices'!$B$2:$B$31,A14)</x:f>
        <x:v>3</x:v>
      </x:c>
      <x:c r="D14" s="28" t="n">
        <x:f>MINIFS('Raw Prices'!$H$2:$H$31,'Raw Prices'!$B$2:$B$31,A14,'Raw Prices'!$L$2:$L$31,1)</x:f>
        <x:v>749</x:v>
      </x:c>
      <x:c r="E14" s="28" t="n">
        <x:f>MAXIFS('Raw Prices'!$H$2:$H$31,'Raw Prices'!$B$2:$B$31,A14,'Raw Prices'!$L$2:$L$31,1)</x:f>
        <x:v>799</x:v>
      </x:c>
      <x:c r="F14" s="28" t="n">
        <x:f>E14-D14</x:f>
        <x:v>50</x:v>
      </x:c>
      <x:c r="G14" t="str">
        <x:f>INDEX('Raw Prices'!$F$2:$F$31,MATCH(D14,'Raw Prices'!$H$2:$H$31,0))</x:f>
        <x:v>Flipkart</x:v>
      </x:c>
      <x:c r="I14" t="str">
        <x:f>A14</x:f>
        <x:v>Prestige Electric Kettle 1.5 L</x:v>
      </x:c>
      <x:c r="J14" s="32" t="n">
        <x:f>F14</x:f>
        <x:v>50</x:v>
      </x:c>
    </x:row>
    <x:row r="15">
      <x:c r="A15" t="str">
        <x:v>Xiaomi 20000 mAh Power Bank</x:v>
      </x:c>
      <x:c r="B15" t="str">
        <x:f>INDEX('Raw Prices'!$D$2:$D$31,MATCH(A15,'Raw Prices'!$B$2:$B$31,0))</x:f>
        <x:v>Accessories</x:v>
      </x:c>
      <x:c r="C15" t="n">
        <x:f>COUNTIF('Raw Prices'!$B$2:$B$31,A15)</x:f>
        <x:v>3</x:v>
      </x:c>
      <x:c r="D15" s="28" t="n">
        <x:f>MINIFS('Raw Prices'!$H$2:$H$31,'Raw Prices'!$B$2:$B$31,A15,'Raw Prices'!$L$2:$L$31,1)</x:f>
        <x:v>1899</x:v>
      </x:c>
      <x:c r="E15" s="28" t="n">
        <x:f>MAXIFS('Raw Prices'!$H$2:$H$31,'Raw Prices'!$B$2:$B$31,A15,'Raw Prices'!$L$2:$L$31,1)</x:f>
        <x:v>2199</x:v>
      </x:c>
      <x:c r="F15" s="28" t="n">
        <x:f>E15-D15</x:f>
        <x:v>300</x:v>
      </x:c>
      <x:c r="G15" t="str">
        <x:f>INDEX('Raw Prices'!$F$2:$F$31,MATCH(D15,'Raw Prices'!$H$2:$H$31,0))</x:f>
        <x:v>Flipkart</x:v>
      </x:c>
      <x:c r="I15" t="str">
        <x:f>A15</x:f>
        <x:v>Xiaomi 20000 mAh Power Bank</x:v>
      </x:c>
      <x:c r="J15" s="32" t="n">
        <x:f>F15</x:f>
        <x:v>300</x:v>
      </x:c>
    </x:row>
    <x:row r="16">
      <x:c r="A16" t="str">
        <x:v>Dell 24 Inch FHD Monitor</x:v>
      </x:c>
      <x:c r="B16" t="str">
        <x:f>INDEX('Raw Prices'!$D$2:$D$31,MATCH(A16,'Raw Prices'!$B$2:$B$31,0))</x:f>
        <x:v>Monitors</x:v>
      </x:c>
      <x:c r="C16" t="n">
        <x:f>COUNTIF('Raw Prices'!$B$2:$B$31,A16)</x:f>
        <x:v>3</x:v>
      </x:c>
      <x:c r="D16" s="28" t="n">
        <x:f>MINIFS('Raw Prices'!$H$2:$H$31,'Raw Prices'!$B$2:$B$31,A16,'Raw Prices'!$L$2:$L$31,1)</x:f>
        <x:v>10799</x:v>
      </x:c>
      <x:c r="E16" s="28" t="n">
        <x:f>MAXIFS('Raw Prices'!$H$2:$H$31,'Raw Prices'!$B$2:$B$31,A16,'Raw Prices'!$L$2:$L$31,1)</x:f>
        <x:v>11499</x:v>
      </x:c>
      <x:c r="F16" s="28" t="n">
        <x:f>E16-D16</x:f>
        <x:v>700</x:v>
      </x:c>
      <x:c r="G16" t="str">
        <x:f>INDEX('Raw Prices'!$F$2:$F$31,MATCH(D16,'Raw Prices'!$H$2:$H$31,0))</x:f>
        <x:v>Flipkart</x:v>
      </x:c>
      <x:c r="I16" t="str">
        <x:f>A16</x:f>
        <x:v>Dell 24 Inch FHD Monitor</x:v>
      </x:c>
      <x:c r="J16" s="32" t="n">
        <x:f>F16</x:f>
        <x:v>700</x:v>
      </x:c>
    </x:row>
    <x:row r="17">
      <x:c r="A17" t="str">
        <x:v>Canon PIXMA E4570 Printer</x:v>
      </x:c>
      <x:c r="B17" t="str">
        <x:f>INDEX('Raw Prices'!$D$2:$D$31,MATCH(A17,'Raw Prices'!$B$2:$B$31,0))</x:f>
        <x:v>Printers</x:v>
      </x:c>
      <x:c r="C17" t="n">
        <x:f>COUNTIF('Raw Prices'!$B$2:$B$31,A17)</x:f>
        <x:v>3</x:v>
      </x:c>
      <x:c r="D17" s="28" t="n">
        <x:f>MINIFS('Raw Prices'!$H$2:$H$31,'Raw Prices'!$B$2:$B$31,A17,'Raw Prices'!$L$2:$L$31,1)</x:f>
        <x:v>5649</x:v>
      </x:c>
      <x:c r="E17" s="28" t="n">
        <x:f>MAXIFS('Raw Prices'!$H$2:$H$31,'Raw Prices'!$B$2:$B$31,A17,'Raw Prices'!$L$2:$L$31,1)</x:f>
        <x:v>5999</x:v>
      </x:c>
      <x:c r="F17" s="28" t="n">
        <x:f>E17-D17</x:f>
        <x:v>350</x:v>
      </x:c>
      <x:c r="G17" t="str">
        <x:f>INDEX('Raw Prices'!$F$2:$F$31,MATCH(D17,'Raw Prices'!$H$2:$H$31,0))</x:f>
        <x:v>Flipkart</x:v>
      </x:c>
      <x:c r="I17" t="str">
        <x:f>A17</x:f>
        <x:v>Canon PIXMA E4570 Printer</x:v>
      </x:c>
      <x:c r="J17" s="32" t="n">
        <x:f>F17</x:f>
        <x:v>350</x:v>
      </x:c>
    </x:row>
  </x:sheetData>
  <x:mergeCells>
    <x:mergeCell ref="A1:H1"/>
    <x:mergeCell ref="A2:H2"/>
  </x:mergeCells>
  <x:conditionalFormatting sqref="F8:F17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{8213237C-262D-8CED-9257-E0A72B4BD1FC}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f112dd52058243d4"/>
  <x:tableParts count="1">
    <x:tablePart xmlns:r="http://schemas.openxmlformats.org/officeDocument/2006/relationships" r:id="Rfa421dac86344e6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213237C-262D-8CED-9257-E0A72B4BD1FC}">
            <x14:dataBar gradient="1">
              <x14:cfvo type="min"/>
              <x14:cfvo type="max"/>
              <x14:fillColor rgb="FF0F766E"/>
            </x14:dataBar>
          </x14:cfRule>
          <xm:sqref>F8:F17</xm:sqref>
        </x14:conditionalFormatting>
      </x14:conditionalFormattings>
    </x:ext>
  </x:extLst>
</x:worksheet>
</file>